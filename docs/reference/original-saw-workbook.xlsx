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E:\KULIAH\Akademik\KULIAH\SEMESTER 7\Sistem Pendukung Keputusan\UAS\"/>
    </mc:Choice>
  </mc:AlternateContent>
  <xr:revisionPtr revIDLastSave="0" documentId="13_ncr:1_{6049099F-54D5-4347-AF76-941631F49A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iRpO/HG3ko8ZVdrOdkx8S7SuBYwQ=="/>
    </ext>
  </extLst>
</workbook>
</file>

<file path=xl/calcChain.xml><?xml version="1.0" encoding="utf-8"?>
<calcChain xmlns="http://schemas.openxmlformats.org/spreadsheetml/2006/main">
  <c r="A24" i="1" l="1"/>
  <c r="A31" i="1" s="1"/>
  <c r="A39" i="1" s="1"/>
  <c r="A23" i="1"/>
  <c r="A30" i="1" s="1"/>
  <c r="A38" i="1" s="1"/>
  <c r="A22" i="1"/>
  <c r="A29" i="1" s="1"/>
  <c r="A37" i="1" s="1"/>
  <c r="A21" i="1"/>
  <c r="A28" i="1" s="1"/>
  <c r="A36" i="1" s="1"/>
  <c r="A20" i="1"/>
  <c r="A27" i="1" s="1"/>
  <c r="A35" i="1" s="1"/>
  <c r="E16" i="1"/>
  <c r="E21" i="1" s="1"/>
  <c r="D16" i="1"/>
  <c r="D23" i="1" s="1"/>
  <c r="C16" i="1"/>
  <c r="C23" i="1" s="1"/>
  <c r="B16" i="1"/>
  <c r="B22" i="1" s="1"/>
  <c r="E9" i="1"/>
  <c r="D9" i="1"/>
  <c r="C9" i="1"/>
  <c r="B9" i="1"/>
  <c r="F3" i="1"/>
  <c r="E20" i="1" l="1"/>
  <c r="B20" i="1"/>
  <c r="B21" i="1"/>
  <c r="C20" i="1"/>
  <c r="D20" i="1"/>
  <c r="C21" i="1"/>
  <c r="C22" i="1"/>
  <c r="E23" i="1"/>
  <c r="D22" i="1"/>
  <c r="B24" i="1"/>
  <c r="E22" i="1"/>
  <c r="C24" i="1"/>
  <c r="D24" i="1"/>
  <c r="D21" i="1"/>
  <c r="B23" i="1"/>
  <c r="E24" i="1"/>
  <c r="B30" i="1" l="1"/>
  <c r="B28" i="1"/>
  <c r="B27" i="1"/>
  <c r="B31" i="1"/>
  <c r="B29" i="1"/>
  <c r="B32" i="1" l="1"/>
  <c r="B35" i="1" s="1"/>
  <c r="B37" i="1" l="1"/>
  <c r="B39" i="1"/>
  <c r="B38" i="1"/>
  <c r="B36" i="1"/>
  <c r="C35" i="1" s="1"/>
  <c r="C37" i="1"/>
  <c r="C39" i="1"/>
  <c r="C38" i="1"/>
  <c r="C36" i="1"/>
</calcChain>
</file>

<file path=xl/sharedStrings.xml><?xml version="1.0" encoding="utf-8"?>
<sst xmlns="http://schemas.openxmlformats.org/spreadsheetml/2006/main" count="32" uniqueCount="26">
  <si>
    <t>Harga</t>
  </si>
  <si>
    <t>Kondisi</t>
  </si>
  <si>
    <t>kualitas</t>
  </si>
  <si>
    <t>Ketahanan</t>
  </si>
  <si>
    <t>Jenis jenis kayu</t>
  </si>
  <si>
    <t>Alternatif / kriteria</t>
  </si>
  <si>
    <t>cost / benefit</t>
  </si>
  <si>
    <t>cost</t>
  </si>
  <si>
    <t>benefit</t>
  </si>
  <si>
    <t>Kayu Mahoni</t>
  </si>
  <si>
    <t>Kayu Jati</t>
  </si>
  <si>
    <t>Kayu Trembesi</t>
  </si>
  <si>
    <t>Kayu Jati Belanda</t>
  </si>
  <si>
    <t>Kayu Sungkai</t>
  </si>
  <si>
    <t>pembagi</t>
  </si>
  <si>
    <t>Normalisasi data</t>
  </si>
  <si>
    <t>jumlah</t>
  </si>
  <si>
    <t>phoenix 6 pcs drawer set</t>
  </si>
  <si>
    <t>plywood doors</t>
  </si>
  <si>
    <t>portable 8 door wardrobe</t>
  </si>
  <si>
    <t>aluminuim doors</t>
  </si>
  <si>
    <t>dorawal</t>
  </si>
  <si>
    <t>Bobot Kepentingan</t>
  </si>
  <si>
    <t>Bobot</t>
  </si>
  <si>
    <t>Hasil</t>
  </si>
  <si>
    <t>Penjumlahan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</si>
</sst>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4" fillId="4" borderId="17" xfId="0" applyFont="1" applyFill="1" applyBorder="1"/>
    <xf numFmtId="0" fontId="4" fillId="4" borderId="18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3" borderId="17" xfId="0" applyFont="1" applyFill="1" applyBorder="1"/>
    <xf numFmtId="0" fontId="1" fillId="3" borderId="18" xfId="0" applyFont="1" applyFill="1" applyBorder="1"/>
    <xf numFmtId="0" fontId="1" fillId="0" borderId="17" xfId="0" applyFont="1" applyBorder="1" applyAlignment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7" xfId="0" applyFont="1" applyBorder="1"/>
    <xf numFmtId="0" fontId="4" fillId="7" borderId="17" xfId="0" applyFont="1" applyFill="1" applyBorder="1"/>
    <xf numFmtId="0" fontId="4" fillId="7" borderId="1" xfId="0" applyFont="1" applyFill="1" applyBorder="1"/>
    <xf numFmtId="0" fontId="4" fillId="7" borderId="18" xfId="0" applyFont="1" applyFill="1" applyBorder="1"/>
    <xf numFmtId="0" fontId="4" fillId="8" borderId="17" xfId="0" applyFont="1" applyFill="1" applyBorder="1"/>
    <xf numFmtId="0" fontId="4" fillId="8" borderId="1" xfId="0" applyFont="1" applyFill="1" applyBorder="1"/>
    <xf numFmtId="0" fontId="4" fillId="8" borderId="18" xfId="0" applyFont="1" applyFill="1" applyBorder="1"/>
    <xf numFmtId="0" fontId="1" fillId="9" borderId="17" xfId="0" applyFont="1" applyFill="1" applyBorder="1"/>
    <xf numFmtId="0" fontId="1" fillId="9" borderId="1" xfId="0" applyFont="1" applyFill="1" applyBorder="1"/>
    <xf numFmtId="0" fontId="1" fillId="9" borderId="18" xfId="0" applyFont="1" applyFill="1" applyBorder="1"/>
    <xf numFmtId="0" fontId="1" fillId="10" borderId="17" xfId="0" applyFont="1" applyFill="1" applyBorder="1"/>
    <xf numFmtId="0" fontId="1" fillId="10" borderId="1" xfId="0" applyFont="1" applyFill="1" applyBorder="1"/>
    <xf numFmtId="0" fontId="1" fillId="10" borderId="18" xfId="0" applyFont="1" applyFill="1" applyBorder="1"/>
    <xf numFmtId="0" fontId="1" fillId="0" borderId="25" xfId="0" applyFont="1" applyBorder="1"/>
    <xf numFmtId="0" fontId="1" fillId="0" borderId="26" xfId="0" applyFont="1" applyBorder="1"/>
    <xf numFmtId="0" fontId="0" fillId="0" borderId="0" xfId="0" applyFont="1" applyAlignment="1"/>
    <xf numFmtId="0" fontId="5" fillId="11" borderId="22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5" borderId="11" xfId="0" applyFont="1" applyFill="1" applyBorder="1" applyAlignment="1">
      <alignment horizontal="center"/>
    </xf>
    <xf numFmtId="0" fontId="0" fillId="5" borderId="12" xfId="0" applyFont="1" applyFill="1" applyBorder="1" applyAlignment="1"/>
    <xf numFmtId="0" fontId="0" fillId="5" borderId="13" xfId="0" applyFont="1" applyFill="1" applyBorder="1" applyAlignment="1"/>
    <xf numFmtId="0" fontId="4" fillId="6" borderId="14" xfId="0" applyFont="1" applyFill="1" applyBorder="1" applyAlignment="1">
      <alignment horizontal="center"/>
    </xf>
    <xf numFmtId="0" fontId="3" fillId="6" borderId="15" xfId="0" applyFont="1" applyFill="1" applyBorder="1" applyAlignment="1"/>
    <xf numFmtId="0" fontId="3" fillId="6" borderId="16" xfId="0" applyFont="1" applyFill="1" applyBorder="1" applyAlignment="1"/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12" borderId="29" xfId="0" applyFont="1" applyFill="1" applyBorder="1" applyAlignment="1">
      <alignment horizontal="center"/>
    </xf>
    <xf numFmtId="0" fontId="4" fillId="12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1"/>
  <sheetViews>
    <sheetView tabSelected="1" zoomScale="70" zoomScaleNormal="70" workbookViewId="0">
      <selection activeCell="N36" sqref="N36"/>
    </sheetView>
  </sheetViews>
  <sheetFormatPr defaultColWidth="14.453125" defaultRowHeight="15" customHeight="1" x14ac:dyDescent="0.35"/>
  <cols>
    <col min="1" max="1" width="29.26953125" customWidth="1"/>
    <col min="2" max="2" width="15.453125" customWidth="1"/>
    <col min="3" max="3" width="8.453125" customWidth="1"/>
    <col min="4" max="4" width="14.26953125" customWidth="1"/>
    <col min="5" max="5" width="11.7265625" customWidth="1"/>
    <col min="6" max="7" width="8.7265625" customWidth="1"/>
    <col min="8" max="8" width="10.26953125" bestFit="1" customWidth="1"/>
    <col min="9" max="9" width="13.453125" bestFit="1" customWidth="1"/>
    <col min="10" max="10" width="13" customWidth="1"/>
    <col min="11" max="11" width="12" customWidth="1"/>
    <col min="12" max="12" width="8.453125" customWidth="1"/>
    <col min="13" max="14" width="8.7265625" customWidth="1"/>
    <col min="15" max="15" width="18" customWidth="1"/>
    <col min="16" max="16" width="12" customWidth="1"/>
    <col min="17" max="17" width="7.7265625" customWidth="1"/>
    <col min="18" max="18" width="12" customWidth="1"/>
    <col min="19" max="19" width="7.7265625" customWidth="1"/>
    <col min="20" max="21" width="8.7265625" customWidth="1"/>
    <col min="22" max="22" width="18" customWidth="1"/>
    <col min="23" max="23" width="12" customWidth="1"/>
    <col min="24" max="24" width="7.7265625" customWidth="1"/>
    <col min="25" max="25" width="12" customWidth="1"/>
    <col min="26" max="26" width="7.7265625" customWidth="1"/>
    <col min="27" max="28" width="8.7265625" customWidth="1"/>
    <col min="29" max="29" width="18" customWidth="1"/>
    <col min="30" max="30" width="12" customWidth="1"/>
    <col min="31" max="31" width="7.7265625" customWidth="1"/>
    <col min="32" max="32" width="12" customWidth="1"/>
    <col min="33" max="33" width="7.7265625" customWidth="1"/>
    <col min="34" max="34" width="8.7265625" customWidth="1"/>
  </cols>
  <sheetData>
    <row r="1" spans="1:34" ht="15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5" x14ac:dyDescent="0.35">
      <c r="A2" s="59" t="s">
        <v>22</v>
      </c>
      <c r="B2" s="8" t="s">
        <v>0</v>
      </c>
      <c r="C2" s="8" t="s">
        <v>1</v>
      </c>
      <c r="D2" s="9" t="s">
        <v>2</v>
      </c>
      <c r="E2" s="10" t="s">
        <v>3</v>
      </c>
      <c r="F2" s="8"/>
      <c r="G2" s="1"/>
      <c r="H2" s="1"/>
      <c r="I2" s="1"/>
      <c r="J2" s="5"/>
      <c r="K2" s="1"/>
      <c r="L2" s="1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5"/>
      <c r="Y2" s="1"/>
      <c r="Z2" s="1"/>
      <c r="AA2" s="1"/>
      <c r="AB2" s="1"/>
      <c r="AC2" s="1"/>
      <c r="AD2" s="1"/>
      <c r="AE2" s="5"/>
      <c r="AF2" s="1"/>
      <c r="AG2" s="1"/>
      <c r="AH2" s="1"/>
    </row>
    <row r="3" spans="1:34" ht="15.5" x14ac:dyDescent="0.35">
      <c r="A3" s="60"/>
      <c r="B3" s="2">
        <v>3</v>
      </c>
      <c r="C3" s="3">
        <v>2</v>
      </c>
      <c r="D3" s="4">
        <v>5</v>
      </c>
      <c r="E3" s="4">
        <v>4</v>
      </c>
      <c r="F3" s="2">
        <f>SUM(B3:E3)</f>
        <v>14</v>
      </c>
      <c r="G3" s="1"/>
      <c r="H3" s="1"/>
      <c r="I3" s="1"/>
      <c r="J3" s="5"/>
      <c r="K3" s="1"/>
      <c r="L3" s="1"/>
      <c r="M3" s="1"/>
      <c r="N3" s="1"/>
      <c r="O3" s="1"/>
      <c r="P3" s="1"/>
      <c r="Q3" s="5"/>
      <c r="R3" s="1"/>
      <c r="S3" s="1"/>
      <c r="T3" s="1"/>
      <c r="U3" s="1"/>
      <c r="V3" s="1"/>
      <c r="W3" s="1"/>
      <c r="X3" s="5"/>
      <c r="Y3" s="1"/>
      <c r="Z3" s="1"/>
      <c r="AA3" s="1"/>
      <c r="AB3" s="1"/>
      <c r="AC3" s="1"/>
      <c r="AD3" s="1"/>
      <c r="AE3" s="5"/>
      <c r="AF3" s="1"/>
      <c r="AG3" s="1"/>
      <c r="AH3" s="1"/>
    </row>
    <row r="4" spans="1:34" ht="15.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6" thickBot="1" x14ac:dyDescent="0.4">
      <c r="G6" s="1"/>
      <c r="H6" s="47"/>
      <c r="I6" s="47"/>
      <c r="J6" s="47"/>
      <c r="K6" s="1"/>
      <c r="L6" s="51"/>
      <c r="M6" s="52"/>
      <c r="N6" s="52"/>
      <c r="O6" s="52"/>
      <c r="P6" s="52"/>
      <c r="Q6" s="52"/>
      <c r="R6" s="1"/>
      <c r="S6" s="51"/>
      <c r="T6" s="52"/>
      <c r="U6" s="52"/>
      <c r="V6" s="52"/>
      <c r="W6" s="52"/>
      <c r="X6" s="52"/>
      <c r="Y6" s="1"/>
      <c r="Z6" s="51"/>
      <c r="AA6" s="52"/>
      <c r="AB6" s="52"/>
      <c r="AC6" s="52"/>
      <c r="AD6" s="52"/>
      <c r="AE6" s="52"/>
    </row>
    <row r="7" spans="1:34" ht="15.5" x14ac:dyDescent="0.35">
      <c r="A7" s="56" t="s">
        <v>4</v>
      </c>
      <c r="B7" s="57"/>
      <c r="C7" s="57"/>
      <c r="D7" s="57"/>
      <c r="E7" s="57"/>
      <c r="F7" s="58"/>
      <c r="G7" s="1"/>
      <c r="H7" s="5"/>
      <c r="I7" s="1"/>
      <c r="J7" s="1"/>
      <c r="K7" s="1"/>
      <c r="L7" s="1"/>
      <c r="M7" s="1"/>
      <c r="N7" s="1"/>
      <c r="O7" s="5"/>
      <c r="P7" s="1"/>
      <c r="Q7" s="1"/>
      <c r="R7" s="1"/>
      <c r="S7" s="1"/>
      <c r="T7" s="1"/>
      <c r="U7" s="1"/>
      <c r="V7" s="5"/>
      <c r="W7" s="1"/>
      <c r="X7" s="1"/>
      <c r="Y7" s="1"/>
    </row>
    <row r="8" spans="1:34" ht="15.5" x14ac:dyDescent="0.35">
      <c r="A8" s="22" t="s">
        <v>5</v>
      </c>
      <c r="B8" s="12" t="s">
        <v>0</v>
      </c>
      <c r="C8" s="12" t="s">
        <v>1</v>
      </c>
      <c r="D8" s="12" t="s">
        <v>2</v>
      </c>
      <c r="E8" s="12" t="s">
        <v>3</v>
      </c>
      <c r="F8" s="23"/>
      <c r="G8" s="1"/>
      <c r="H8" s="1"/>
      <c r="I8" s="1"/>
      <c r="J8" s="1"/>
      <c r="K8" s="1"/>
      <c r="L8" s="1"/>
      <c r="M8" s="1"/>
      <c r="N8" s="5"/>
      <c r="O8" s="1"/>
      <c r="P8" s="1"/>
      <c r="Q8" s="1"/>
      <c r="R8" s="1"/>
      <c r="S8" s="1"/>
      <c r="T8" s="1"/>
      <c r="U8" s="5"/>
      <c r="V8" s="1"/>
      <c r="W8" s="1"/>
      <c r="X8" s="1"/>
      <c r="Y8" s="1"/>
      <c r="Z8" s="1"/>
      <c r="AA8" s="1"/>
      <c r="AB8" s="5"/>
      <c r="AC8" s="1"/>
      <c r="AD8" s="1"/>
      <c r="AE8" s="1"/>
    </row>
    <row r="9" spans="1:34" ht="15.5" x14ac:dyDescent="0.35">
      <c r="A9" s="24" t="s">
        <v>23</v>
      </c>
      <c r="B9" s="3">
        <f>$F$9/B3</f>
        <v>0.33333333333333331</v>
      </c>
      <c r="C9" s="3">
        <f>$F$9/C3</f>
        <v>0.5</v>
      </c>
      <c r="D9" s="3">
        <f>$F$9/D3</f>
        <v>0.2</v>
      </c>
      <c r="E9" s="3">
        <f>$F$9/E3</f>
        <v>0.25</v>
      </c>
      <c r="F9" s="25">
        <v>1</v>
      </c>
      <c r="G9" s="1"/>
      <c r="H9" s="5"/>
      <c r="I9" s="5"/>
      <c r="J9" s="1"/>
      <c r="K9" s="1"/>
      <c r="L9" s="1"/>
      <c r="M9" s="1"/>
      <c r="N9" s="5"/>
      <c r="O9" s="1"/>
      <c r="P9" s="1"/>
      <c r="Q9" s="1"/>
      <c r="R9" s="1"/>
      <c r="S9" s="1"/>
      <c r="T9" s="1"/>
      <c r="U9" s="5"/>
      <c r="V9" s="1"/>
      <c r="W9" s="1"/>
      <c r="X9" s="1"/>
      <c r="Y9" s="1"/>
      <c r="Z9" s="1"/>
      <c r="AA9" s="1"/>
      <c r="AB9" s="5"/>
      <c r="AC9" s="1"/>
      <c r="AD9" s="1"/>
      <c r="AE9" s="1"/>
    </row>
    <row r="10" spans="1:34" ht="15.5" x14ac:dyDescent="0.35">
      <c r="A10" s="26" t="s">
        <v>6</v>
      </c>
      <c r="B10" s="11" t="s">
        <v>7</v>
      </c>
      <c r="C10" s="11" t="s">
        <v>8</v>
      </c>
      <c r="D10" s="11" t="s">
        <v>8</v>
      </c>
      <c r="E10" s="11" t="s">
        <v>8</v>
      </c>
      <c r="F10" s="27"/>
      <c r="G10" s="1"/>
      <c r="H10" s="1"/>
      <c r="I10" s="1"/>
      <c r="J10" s="1"/>
      <c r="K10" s="1"/>
      <c r="L10" s="1"/>
      <c r="M10" s="1"/>
      <c r="N10" s="5"/>
      <c r="O10" s="1"/>
      <c r="P10" s="1"/>
      <c r="Q10" s="1"/>
      <c r="R10" s="1"/>
      <c r="S10" s="1"/>
      <c r="T10" s="1"/>
      <c r="U10" s="5"/>
      <c r="V10" s="1"/>
      <c r="W10" s="1"/>
      <c r="X10" s="1"/>
      <c r="Y10" s="1"/>
      <c r="Z10" s="1"/>
      <c r="AA10" s="1"/>
      <c r="AB10" s="5"/>
      <c r="AC10" s="1"/>
      <c r="AD10" s="1"/>
      <c r="AE10" s="1"/>
    </row>
    <row r="11" spans="1:34" ht="15.5" x14ac:dyDescent="0.35">
      <c r="A11" s="28" t="s">
        <v>9</v>
      </c>
      <c r="B11" s="3">
        <v>800000</v>
      </c>
      <c r="C11" s="3">
        <v>1</v>
      </c>
      <c r="D11" s="3">
        <v>1</v>
      </c>
      <c r="E11" s="3">
        <v>4</v>
      </c>
      <c r="F11" s="25"/>
      <c r="G11" s="1"/>
      <c r="H11" s="1"/>
      <c r="I11" s="1"/>
      <c r="J11" s="5"/>
      <c r="K11" s="1"/>
      <c r="L11" s="1"/>
      <c r="M11" s="1"/>
      <c r="N11" s="1"/>
      <c r="O11" s="1"/>
      <c r="P11" s="1"/>
      <c r="Q11" s="5"/>
      <c r="R11" s="1"/>
      <c r="S11" s="1"/>
      <c r="T11" s="1"/>
      <c r="U11" s="1"/>
      <c r="V11" s="1"/>
      <c r="W11" s="1"/>
      <c r="X11" s="5"/>
      <c r="Y11" s="1"/>
      <c r="Z11" s="1"/>
      <c r="AA11" s="1"/>
      <c r="AB11" s="1"/>
      <c r="AC11" s="1"/>
      <c r="AD11" s="1"/>
      <c r="AE11" s="5"/>
      <c r="AF11" s="1"/>
      <c r="AG11" s="1"/>
      <c r="AH11" s="1"/>
    </row>
    <row r="12" spans="1:34" ht="15.5" x14ac:dyDescent="0.35">
      <c r="A12" s="28" t="s">
        <v>10</v>
      </c>
      <c r="B12" s="3">
        <v>1000000</v>
      </c>
      <c r="C12" s="3">
        <v>2</v>
      </c>
      <c r="D12" s="3">
        <v>2</v>
      </c>
      <c r="E12" s="3">
        <v>4</v>
      </c>
      <c r="F12" s="25"/>
      <c r="G12" s="1"/>
      <c r="H12" s="1"/>
      <c r="I12" s="1"/>
      <c r="J12" s="5"/>
      <c r="K12" s="1"/>
      <c r="L12" s="1"/>
      <c r="M12" s="1"/>
      <c r="N12" s="1"/>
      <c r="O12" s="1"/>
      <c r="P12" s="1"/>
      <c r="Q12" s="5"/>
      <c r="R12" s="1"/>
      <c r="S12" s="1"/>
      <c r="T12" s="1"/>
      <c r="U12" s="1"/>
      <c r="V12" s="1"/>
      <c r="W12" s="1"/>
      <c r="X12" s="5"/>
      <c r="Y12" s="1"/>
      <c r="Z12" s="1"/>
      <c r="AA12" s="1"/>
      <c r="AB12" s="1"/>
      <c r="AC12" s="1"/>
      <c r="AD12" s="1"/>
      <c r="AE12" s="5"/>
      <c r="AF12" s="1"/>
      <c r="AG12" s="1"/>
      <c r="AH12" s="1"/>
    </row>
    <row r="13" spans="1:34" ht="15.5" x14ac:dyDescent="0.35">
      <c r="A13" s="28" t="s">
        <v>11</v>
      </c>
      <c r="B13" s="3">
        <v>600000</v>
      </c>
      <c r="C13" s="3">
        <v>1</v>
      </c>
      <c r="D13" s="3">
        <v>3</v>
      </c>
      <c r="E13" s="3">
        <v>2</v>
      </c>
      <c r="F13" s="25"/>
      <c r="G13" s="1"/>
      <c r="H13" s="1"/>
      <c r="I13" s="1"/>
      <c r="J13" s="5"/>
      <c r="K13" s="1"/>
      <c r="L13" s="1"/>
      <c r="M13" s="1"/>
      <c r="N13" s="1"/>
      <c r="O13" s="1"/>
      <c r="P13" s="1"/>
      <c r="Q13" s="5"/>
      <c r="R13" s="1"/>
      <c r="S13" s="1"/>
      <c r="T13" s="1"/>
      <c r="U13" s="1"/>
      <c r="V13" s="1"/>
      <c r="W13" s="1"/>
      <c r="X13" s="5"/>
      <c r="Y13" s="1"/>
      <c r="Z13" s="1"/>
      <c r="AA13" s="1"/>
      <c r="AB13" s="1"/>
      <c r="AC13" s="1"/>
      <c r="AD13" s="1"/>
      <c r="AE13" s="5"/>
      <c r="AF13" s="1"/>
      <c r="AG13" s="1"/>
      <c r="AH13" s="1"/>
    </row>
    <row r="14" spans="1:34" ht="15.5" x14ac:dyDescent="0.35">
      <c r="A14" s="28" t="s">
        <v>12</v>
      </c>
      <c r="B14" s="3">
        <v>1300000</v>
      </c>
      <c r="C14" s="3">
        <v>1</v>
      </c>
      <c r="D14" s="3">
        <v>3</v>
      </c>
      <c r="E14" s="3">
        <v>5</v>
      </c>
      <c r="F14" s="25"/>
      <c r="G14" s="1"/>
      <c r="H14" s="1"/>
      <c r="I14" s="1"/>
      <c r="J14" s="5"/>
      <c r="K14" s="1"/>
      <c r="L14" s="1"/>
      <c r="M14" s="1"/>
      <c r="N14" s="1"/>
      <c r="O14" s="1"/>
      <c r="P14" s="1"/>
      <c r="Q14" s="5"/>
      <c r="R14" s="1"/>
      <c r="S14" s="1"/>
      <c r="T14" s="1"/>
      <c r="U14" s="1"/>
      <c r="V14" s="1"/>
      <c r="W14" s="1"/>
      <c r="X14" s="5"/>
      <c r="Y14" s="1"/>
      <c r="Z14" s="1"/>
      <c r="AA14" s="1"/>
      <c r="AB14" s="1"/>
      <c r="AC14" s="1"/>
      <c r="AD14" s="1"/>
      <c r="AE14" s="5"/>
      <c r="AF14" s="1"/>
      <c r="AG14" s="1"/>
      <c r="AH14" s="1"/>
    </row>
    <row r="15" spans="1:34" ht="15.5" x14ac:dyDescent="0.35">
      <c r="A15" s="28" t="s">
        <v>13</v>
      </c>
      <c r="B15" s="3">
        <v>125000</v>
      </c>
      <c r="C15" s="3">
        <v>2</v>
      </c>
      <c r="D15" s="3">
        <v>4</v>
      </c>
      <c r="E15" s="3">
        <v>3</v>
      </c>
      <c r="F15" s="25"/>
      <c r="G15" s="1"/>
      <c r="H15" s="1"/>
      <c r="I15" s="1"/>
      <c r="J15" s="5"/>
      <c r="K15" s="1"/>
      <c r="L15" s="1"/>
      <c r="M15" s="1"/>
      <c r="N15" s="1"/>
      <c r="O15" s="1"/>
      <c r="P15" s="1"/>
      <c r="Q15" s="5"/>
      <c r="R15" s="1"/>
      <c r="S15" s="1"/>
      <c r="T15" s="1"/>
      <c r="U15" s="1"/>
      <c r="V15" s="1"/>
      <c r="W15" s="1"/>
      <c r="X15" s="5"/>
      <c r="Y15" s="1"/>
      <c r="Z15" s="1"/>
      <c r="AA15" s="1"/>
      <c r="AB15" s="1"/>
      <c r="AC15" s="1"/>
      <c r="AD15" s="1"/>
      <c r="AE15" s="5"/>
      <c r="AF15" s="1"/>
      <c r="AG15" s="1"/>
      <c r="AH15" s="1"/>
    </row>
    <row r="16" spans="1:34" ht="16" thickBot="1" x14ac:dyDescent="0.4">
      <c r="A16" s="29" t="s">
        <v>14</v>
      </c>
      <c r="B16" s="30">
        <f>MIN(B11:B15)</f>
        <v>125000</v>
      </c>
      <c r="C16" s="30">
        <f t="shared" ref="C16:E16" si="0">MAX(C11:C15)</f>
        <v>2</v>
      </c>
      <c r="D16" s="30">
        <f t="shared" si="0"/>
        <v>4</v>
      </c>
      <c r="E16" s="30">
        <f t="shared" si="0"/>
        <v>5</v>
      </c>
      <c r="F16" s="3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5.5" x14ac:dyDescent="0.35">
      <c r="A17" s="6"/>
      <c r="B17" s="6"/>
      <c r="C17" s="6"/>
      <c r="D17" s="6"/>
      <c r="E17" s="6"/>
      <c r="F17" s="1"/>
      <c r="G17" s="1"/>
      <c r="H17" s="6"/>
      <c r="I17" s="6"/>
      <c r="J17" s="6"/>
      <c r="K17" s="6"/>
      <c r="L17" s="6"/>
      <c r="M17" s="1"/>
      <c r="N17" s="1"/>
      <c r="O17" s="6"/>
      <c r="P17" s="6"/>
      <c r="Q17" s="6"/>
      <c r="R17" s="6"/>
      <c r="S17" s="6"/>
      <c r="T17" s="1"/>
      <c r="U17" s="1"/>
      <c r="V17" s="6"/>
      <c r="W17" s="6"/>
      <c r="X17" s="6"/>
      <c r="Y17" s="6"/>
      <c r="Z17" s="6"/>
      <c r="AA17" s="1"/>
      <c r="AB17" s="1"/>
      <c r="AC17" s="6"/>
      <c r="AD17" s="6"/>
      <c r="AE17" s="6"/>
      <c r="AF17" s="6"/>
      <c r="AG17" s="6"/>
      <c r="AH17" s="1"/>
    </row>
    <row r="18" spans="1:34" ht="16" thickBot="1" x14ac:dyDescent="0.4">
      <c r="F18" s="1"/>
      <c r="G18" s="1"/>
      <c r="H18" s="51"/>
      <c r="I18" s="52"/>
      <c r="J18" s="52"/>
      <c r="K18" s="52"/>
      <c r="L18" s="52"/>
      <c r="M18" s="1"/>
      <c r="N18" s="1"/>
      <c r="O18" s="51"/>
      <c r="P18" s="52"/>
      <c r="Q18" s="52"/>
      <c r="R18" s="52"/>
      <c r="S18" s="52"/>
      <c r="T18" s="1"/>
      <c r="U18" s="1"/>
      <c r="V18" s="51"/>
      <c r="W18" s="52"/>
      <c r="X18" s="52"/>
      <c r="Y18" s="52"/>
      <c r="Z18" s="52"/>
      <c r="AA18" s="1"/>
      <c r="AB18" s="1"/>
      <c r="AC18" s="51"/>
      <c r="AD18" s="52"/>
      <c r="AE18" s="52"/>
      <c r="AF18" s="52"/>
      <c r="AG18" s="52"/>
      <c r="AH18" s="1"/>
    </row>
    <row r="19" spans="1:34" ht="16" thickBot="1" x14ac:dyDescent="0.4">
      <c r="A19" s="53" t="s">
        <v>15</v>
      </c>
      <c r="B19" s="54"/>
      <c r="C19" s="54"/>
      <c r="D19" s="54"/>
      <c r="E19" s="55"/>
      <c r="F19" s="1"/>
      <c r="G19" s="1"/>
      <c r="H19" s="6"/>
      <c r="I19" s="6"/>
      <c r="J19" s="6"/>
      <c r="K19" s="6"/>
      <c r="L19" s="6"/>
      <c r="M19" s="1"/>
      <c r="N19" s="1"/>
      <c r="O19" s="6"/>
      <c r="P19" s="6"/>
      <c r="Q19" s="6"/>
      <c r="R19" s="6"/>
      <c r="S19" s="6"/>
      <c r="T19" s="1"/>
      <c r="U19" s="1"/>
      <c r="V19" s="6"/>
      <c r="W19" s="6"/>
      <c r="X19" s="6"/>
      <c r="Y19" s="6"/>
      <c r="Z19" s="6"/>
      <c r="AA19" s="1"/>
      <c r="AB19" s="1"/>
      <c r="AC19" s="6"/>
      <c r="AD19" s="6"/>
      <c r="AE19" s="6"/>
      <c r="AF19" s="6"/>
      <c r="AG19" s="6"/>
      <c r="AH19" s="1"/>
    </row>
    <row r="20" spans="1:34" ht="15.75" customHeight="1" x14ac:dyDescent="0.35">
      <c r="A20" s="19" t="str">
        <f t="shared" ref="A20:A24" si="1">A11</f>
        <v>Kayu Mahoni</v>
      </c>
      <c r="B20" s="20">
        <f>B11/B16</f>
        <v>6.4</v>
      </c>
      <c r="C20" s="20">
        <f t="shared" ref="C20:D20" si="2">C11/C$16</f>
        <v>0.5</v>
      </c>
      <c r="D20" s="20">
        <f t="shared" si="2"/>
        <v>0.25</v>
      </c>
      <c r="E20" s="21">
        <f>E11/E$16</f>
        <v>0.8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customHeight="1" x14ac:dyDescent="0.35">
      <c r="A21" s="14" t="str">
        <f t="shared" si="1"/>
        <v>Kayu Jati</v>
      </c>
      <c r="B21" s="13">
        <f>B12/B16</f>
        <v>8</v>
      </c>
      <c r="C21" s="13">
        <f t="shared" ref="C21:E21" si="3">C12/C$16</f>
        <v>1</v>
      </c>
      <c r="D21" s="13">
        <f t="shared" si="3"/>
        <v>0.5</v>
      </c>
      <c r="E21" s="15">
        <f t="shared" si="3"/>
        <v>0.8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customHeight="1" x14ac:dyDescent="0.35">
      <c r="A22" s="14" t="str">
        <f t="shared" si="1"/>
        <v>Kayu Trembesi</v>
      </c>
      <c r="B22" s="13">
        <f>B13/B16</f>
        <v>4.8</v>
      </c>
      <c r="C22" s="13">
        <f t="shared" ref="C22:E22" si="4">C13/C$16</f>
        <v>0.5</v>
      </c>
      <c r="D22" s="13">
        <f t="shared" si="4"/>
        <v>0.75</v>
      </c>
      <c r="E22" s="15">
        <f t="shared" si="4"/>
        <v>0.4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 x14ac:dyDescent="0.35">
      <c r="A23" s="14" t="str">
        <f t="shared" si="1"/>
        <v>Kayu Jati Belanda</v>
      </c>
      <c r="B23" s="13">
        <f t="shared" ref="B23:E23" si="5">B14/B$16</f>
        <v>10.4</v>
      </c>
      <c r="C23" s="13">
        <f t="shared" si="5"/>
        <v>0.5</v>
      </c>
      <c r="D23" s="13">
        <f t="shared" si="5"/>
        <v>0.75</v>
      </c>
      <c r="E23" s="15">
        <f t="shared" si="5"/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 thickBot="1" x14ac:dyDescent="0.4">
      <c r="A24" s="16" t="str">
        <f t="shared" si="1"/>
        <v>Kayu Sungkai</v>
      </c>
      <c r="B24" s="17">
        <f t="shared" ref="B24:E24" si="6">B15/B$16</f>
        <v>1</v>
      </c>
      <c r="C24" s="17">
        <f t="shared" si="6"/>
        <v>1</v>
      </c>
      <c r="D24" s="17">
        <f t="shared" si="6"/>
        <v>1</v>
      </c>
      <c r="E24" s="18">
        <f t="shared" si="6"/>
        <v>0.6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s="5" customFormat="1" ht="15.75" customHeight="1" thickBot="1" x14ac:dyDescent="0.4">
      <c r="A26" s="61" t="s">
        <v>25</v>
      </c>
      <c r="B26" s="62"/>
    </row>
    <row r="27" spans="1:34" ht="15.75" customHeight="1" x14ac:dyDescent="0.35">
      <c r="A27" s="45" t="str">
        <f>A20</f>
        <v>Kayu Mahoni</v>
      </c>
      <c r="B27" s="46">
        <f>(B20*$B$9)+(C20*$C$9)+($D$9*D20)+($E$9*E20)</f>
        <v>2.6333333333333333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customHeight="1" x14ac:dyDescent="0.35">
      <c r="A28" s="32" t="str">
        <f>A21</f>
        <v>Kayu Jati</v>
      </c>
      <c r="B28" s="25">
        <f>(B21*$B$9)+(C21*$C$9)+($D$9*D21)+($E$9*E21)</f>
        <v>3.4666666666666668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 x14ac:dyDescent="0.35">
      <c r="A29" s="32" t="str">
        <f>A22</f>
        <v>Kayu Trembesi</v>
      </c>
      <c r="B29" s="25">
        <f>(B22*$B$9)+(C22*$C$9)+($D$9*D22)+($E$9*E22)</f>
        <v>2.1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 x14ac:dyDescent="0.35">
      <c r="A30" s="32" t="str">
        <f>A23</f>
        <v>Kayu Jati Belanda</v>
      </c>
      <c r="B30" s="25">
        <f>(B23*$B$9)+(C23*$C$9)+($D$9*D23)+($E$9*E23)</f>
        <v>4.1166666666666671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 x14ac:dyDescent="0.35">
      <c r="A31" s="32" t="str">
        <f>A24</f>
        <v>Kayu Sungkai</v>
      </c>
      <c r="B31" s="25">
        <f>(B24*$B$9)+(C24*$C$9)+($D$9*D24)+($E$9*E24)</f>
        <v>1.1833333333333331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 thickBot="1" x14ac:dyDescent="0.4">
      <c r="A32" s="29" t="s">
        <v>16</v>
      </c>
      <c r="B32" s="31">
        <f>SUM(B27:B31)</f>
        <v>13.5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 x14ac:dyDescent="0.35">
      <c r="A34" s="48" t="s">
        <v>24</v>
      </c>
      <c r="B34" s="49"/>
      <c r="C34" s="50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15.75" customHeight="1" x14ac:dyDescent="0.35">
      <c r="A35" s="39" t="str">
        <f>A27</f>
        <v>Kayu Mahoni</v>
      </c>
      <c r="B35" s="40">
        <f>B27/$B$32</f>
        <v>0.19506172839506172</v>
      </c>
      <c r="C35" s="41">
        <f t="shared" ref="C35:C39" si="7">RANK(B35,$B$35:$B$39)</f>
        <v>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 x14ac:dyDescent="0.35">
      <c r="A36" s="36" t="str">
        <f>A28</f>
        <v>Kayu Jati</v>
      </c>
      <c r="B36" s="37">
        <f>B28/$B$32</f>
        <v>0.25679012345679014</v>
      </c>
      <c r="C36" s="38">
        <f t="shared" si="7"/>
        <v>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 x14ac:dyDescent="0.35">
      <c r="A37" s="42" t="str">
        <f>A29</f>
        <v>Kayu Trembesi</v>
      </c>
      <c r="B37" s="43">
        <f>B29/$B$32</f>
        <v>0.15555555555555556</v>
      </c>
      <c r="C37" s="44">
        <f t="shared" si="7"/>
        <v>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 x14ac:dyDescent="0.35">
      <c r="A38" s="33" t="str">
        <f>A30</f>
        <v>Kayu Jati Belanda</v>
      </c>
      <c r="B38" s="34">
        <f>B30/$B$32</f>
        <v>0.3049382716049383</v>
      </c>
      <c r="C38" s="35">
        <f t="shared" si="7"/>
        <v>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 thickBot="1" x14ac:dyDescent="0.4">
      <c r="A39" s="29" t="str">
        <f>A31</f>
        <v>Kayu Sungkai</v>
      </c>
      <c r="B39" s="30">
        <f>B31/$B$32</f>
        <v>8.7654320987654299E-2</v>
      </c>
      <c r="C39" s="31">
        <f t="shared" si="7"/>
        <v>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</sheetData>
  <mergeCells count="12">
    <mergeCell ref="A2:A3"/>
    <mergeCell ref="A26:B26"/>
    <mergeCell ref="A34:C34"/>
    <mergeCell ref="Z6:AE6"/>
    <mergeCell ref="A19:E19"/>
    <mergeCell ref="H18:L18"/>
    <mergeCell ref="AC18:AG18"/>
    <mergeCell ref="O18:S18"/>
    <mergeCell ref="V18:Z18"/>
    <mergeCell ref="A7:F7"/>
    <mergeCell ref="L6:Q6"/>
    <mergeCell ref="S6:X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" ht="14.5" x14ac:dyDescent="0.35">
      <c r="A1" s="7" t="s">
        <v>17</v>
      </c>
    </row>
    <row r="2" spans="1:1" ht="14.5" x14ac:dyDescent="0.35">
      <c r="A2" s="7" t="s">
        <v>18</v>
      </c>
    </row>
    <row r="3" spans="1:1" ht="14.5" x14ac:dyDescent="0.35">
      <c r="A3" s="7" t="s">
        <v>19</v>
      </c>
    </row>
    <row r="4" spans="1:1" ht="14.5" x14ac:dyDescent="0.35">
      <c r="A4" s="7" t="s">
        <v>20</v>
      </c>
    </row>
    <row r="5" spans="1:1" ht="14.5" x14ac:dyDescent="0.35">
      <c r="A5" s="7" t="s">
        <v>21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PPTIK</dc:creator>
  <cp:lastModifiedBy>ACER</cp:lastModifiedBy>
  <dcterms:created xsi:type="dcterms:W3CDTF">2022-08-04T05:51:40Z</dcterms:created>
  <dcterms:modified xsi:type="dcterms:W3CDTF">2022-10-02T06:37:32Z</dcterms:modified>
</cp:coreProperties>
</file>